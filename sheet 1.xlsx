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5"/>
  </bookViews>
  <sheets>
    <sheet name="TDSheet" sheetId="1" r:id="rId1"/>
  </sheets>
  <calcPr calcId="145621"/>
</workbook>
</file>

<file path=xl/calcChain.xml><?xml version="1.0" encoding="utf-8"?>
<calcChain xmlns="http://schemas.openxmlformats.org/spreadsheetml/2006/main">
  <c r="J11" i="1" l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K10" i="1"/>
  <c r="J10" i="1"/>
</calcChain>
</file>

<file path=xl/sharedStrings.xml><?xml version="1.0" encoding="utf-8"?>
<sst xmlns="http://schemas.openxmlformats.org/spreadsheetml/2006/main" count="114" uniqueCount="112">
  <si>
    <t>Валовий прибуток</t>
  </si>
  <si>
    <t>Період: 23.04.2026 - ...</t>
  </si>
  <si>
    <t>Показники: Кількість(Базових од.); Вартість продажу (грн)(З ПДВ); Собівартість (грн)(З ПДВ); Валовий прибуток (грн)(З ПДВ); Рентабельність(% (з ПДВ));</t>
  </si>
  <si>
    <t>Групування рядків: Номенклатура (Елементи);</t>
  </si>
  <si>
    <t>Відбори:
Договір покупця.Найменування Не содержит Розница;</t>
  </si>
  <si>
    <t>Додаткові поля:
Номенклатура.Код (Вместе, Перед группировкой);
Номенклатура.Артикул  (Окремо, Перед группировкой);
Кількість (базових од.) (Разом з вимірами, Після групування);
Вартість продажу з ПДВ (Разом з вимірами, Після групування);
Собівартість з ПДВ (Разом з вимірами, Після групування);
Валовий прибуток (з ПДВ) (Разом з вимірами, Після групування);
Рентабельність (з ПДВ), % (Разом з вимірами, Після групування);
Кількість (базових од.) (Разом з вимірами, Після групування);
Вартість продажу з ПДВ (Разом з вимірами, Після групування);
Собівартість з ПДВ (Разом з вимірами, Після групування);
Валовий прибуток (з ПДВ) (Разом з вимірами, Після групування);
Рентабельність (з ПДВ), % (Разом з вимірами, Після групування);</t>
  </si>
  <si>
    <t>Код</t>
  </si>
  <si>
    <t>Артикул</t>
  </si>
  <si>
    <t>Номенклатура</t>
  </si>
  <si>
    <t>Кількість</t>
  </si>
  <si>
    <t>Вартість продажу (грн)</t>
  </si>
  <si>
    <t>Собівартість (грн)</t>
  </si>
  <si>
    <t>Валовий прибуток (грн)</t>
  </si>
  <si>
    <t>Рентабельність</t>
  </si>
  <si>
    <t>Базових од.</t>
  </si>
  <si>
    <t>З ПДВ</t>
  </si>
  <si>
    <t>% (з ПДВ)</t>
  </si>
  <si>
    <t>ВА-1</t>
  </si>
  <si>
    <t>Вугілля активоване кокосове ( фасовка по 1000 г)</t>
  </si>
  <si>
    <t>HRDTY48-D</t>
  </si>
  <si>
    <t>Дріжджі спиртові турбо Hot Rod 48 на 25 л</t>
  </si>
  <si>
    <t>ДТ-S48</t>
  </si>
  <si>
    <t>Дріжджі Турбо Alcotec Classic 48</t>
  </si>
  <si>
    <t>ДТ-VS</t>
  </si>
  <si>
    <t>Дріжджі Турбо Alcotec VODKA STAR</t>
  </si>
  <si>
    <t>МДС-Р</t>
  </si>
  <si>
    <t>Дробарка двохвальцева-роликова</t>
  </si>
  <si>
    <t>ЗнБ</t>
  </si>
  <si>
    <t>Замок для хомута на бак</t>
  </si>
  <si>
    <t>TK 24</t>
  </si>
  <si>
    <t>Засіб для освітлення браги ALCOTEC TURBO KLAR 24</t>
  </si>
  <si>
    <t>КРМ</t>
  </si>
  <si>
    <t>Кільця Рашига Мідні 15х15х1мм</t>
  </si>
  <si>
    <t>Корок - 3 (19,5)</t>
  </si>
  <si>
    <t>Корок моноблок БЕЖЕВИЙ 19,5</t>
  </si>
  <si>
    <t>Корок-19*14*38</t>
  </si>
  <si>
    <t>Корокова пробка для бутля 19*14*38, агломерована</t>
  </si>
  <si>
    <t>КП-10</t>
  </si>
  <si>
    <t>Кран тонкого регулювання 10мм</t>
  </si>
  <si>
    <t>КП-12</t>
  </si>
  <si>
    <t>Кран тонкого регулювання 12мм</t>
  </si>
  <si>
    <t>КД-Сlassic 50</t>
  </si>
  <si>
    <t>Кубики дубові Fine Spirit CLASSIC без випалу 50 г</t>
  </si>
  <si>
    <t>КД-Medium 50</t>
  </si>
  <si>
    <t>Кубики дубові Fine Spirit MEDIUM середній випал 50 г</t>
  </si>
  <si>
    <t>КД-Strong 50</t>
  </si>
  <si>
    <t>Кубики дубові Fine Spirit STRONG сильний випал 50 г</t>
  </si>
  <si>
    <t>ЛП62</t>
  </si>
  <si>
    <t>Лопатка пластикова 62 см</t>
  </si>
  <si>
    <t>МСК-папа, 1/2</t>
  </si>
  <si>
    <t>Муфта приварна 1/2 папа</t>
  </si>
  <si>
    <t>ХР 0338</t>
  </si>
  <si>
    <t>Набір спецій для настоянки в стилі Джин (3 л)</t>
  </si>
  <si>
    <t>Набір спецій для настоянки Віскі в Шотландському стилі (3 л)</t>
  </si>
  <si>
    <t>ХР 0357</t>
  </si>
  <si>
    <t>Набір спецій для настоянки Коньяк Домашній (3 л)</t>
  </si>
  <si>
    <t>ХР 0358</t>
  </si>
  <si>
    <t>Набір спецій для настоянки Коньяк на перегородках (3 л)</t>
  </si>
  <si>
    <t>НБС-18</t>
  </si>
  <si>
    <t>Нагрівач для браги, скляний, 100W/ 18 см</t>
  </si>
  <si>
    <t>ОБ_40Он</t>
  </si>
  <si>
    <t>Оболонка колагенова 40 ОКУ некольорова рулонна ОЕ</t>
  </si>
  <si>
    <t>ППУ+КЛ1/4-8</t>
  </si>
  <si>
    <t>Папуга підвісний металевий універсальний + кран латунний папа 1/4-8мм</t>
  </si>
  <si>
    <t>ПарГ-24/20</t>
  </si>
  <si>
    <t>Парогенератор 24В,  20 мм</t>
  </si>
  <si>
    <t>ПЛМ1/2-8л</t>
  </si>
  <si>
    <t>Перехідник латунний мама різьба 1/2 - 8 мм</t>
  </si>
  <si>
    <t>ПНП1/2-8л</t>
  </si>
  <si>
    <t>Перехідник латунний папа різьба 1/2 - 8 мм НІКЕЛЬ</t>
  </si>
  <si>
    <t>ПК-10</t>
  </si>
  <si>
    <t>Перехідник на кран, штуцер 10,2 мм (металевий)</t>
  </si>
  <si>
    <t>490-Ш30*10-500</t>
  </si>
  <si>
    <t>Пляшка 490-Ш30*10-500, без корка</t>
  </si>
  <si>
    <t>СФ-К</t>
  </si>
  <si>
    <t>Сифон з краном</t>
  </si>
  <si>
    <t>СПФ</t>
  </si>
  <si>
    <t>Сифон переливний з фільтром (2м)</t>
  </si>
  <si>
    <t>СПН М</t>
  </si>
  <si>
    <t>СПН мідна 3,5*3,5*0,30 мм</t>
  </si>
  <si>
    <t>СФ</t>
  </si>
  <si>
    <t>Стрічка - фум 12мм*0,075мм*8м</t>
  </si>
  <si>
    <t>СП-50 жовта</t>
  </si>
  <si>
    <t>Сушка для 50 пляшок жовта</t>
  </si>
  <si>
    <t>HY-10</t>
  </si>
  <si>
    <t>Термометр з виносним датчиком, цифровий HY-10</t>
  </si>
  <si>
    <t>TP-101 (Т)</t>
  </si>
  <si>
    <t>Термометр зі щупом-голкою, TP-101 4мм ТУБУС</t>
  </si>
  <si>
    <t>ТС</t>
  </si>
  <si>
    <t>Термометр спиртовий 0-100</t>
  </si>
  <si>
    <t>ВІЛЬХА 6Х12 - 1000</t>
  </si>
  <si>
    <t>Тріска для копчення ВІЛЬХА 6Х12 (фасовка 1000 г)</t>
  </si>
  <si>
    <t>ЯБЛУНЯ 4Х6 - 1000</t>
  </si>
  <si>
    <t>Тріска для копчення ЯБЛУНЯ 4Х6 (фасовка 1000 г)</t>
  </si>
  <si>
    <t>ХБ</t>
  </si>
  <si>
    <t>Хомутик з ключем "метелик" (сталь, 8-12 мм)</t>
  </si>
  <si>
    <t>ЦВС-100</t>
  </si>
  <si>
    <t>Циліндр вимірювальний СКЛЯНИЙ на пластиковій основі 100 мл</t>
  </si>
  <si>
    <t>ЦВС-50</t>
  </si>
  <si>
    <t>Циліндр вимірювальний СКЛЯНИЙ на пластиковій основі 50 мл</t>
  </si>
  <si>
    <t>ШПБ-12х8</t>
  </si>
  <si>
    <t>Шланг поліуретановий 12х8 мм прозорий</t>
  </si>
  <si>
    <t>ШС-7х1.5</t>
  </si>
  <si>
    <t>Шланг силіконовий 7х1.5 мм</t>
  </si>
  <si>
    <t>ШКС-1,5</t>
  </si>
  <si>
    <t>Шприц для виробництва ковбаси металевий 1,5 кг</t>
  </si>
  <si>
    <t>ШП</t>
  </si>
  <si>
    <t>Штопор пневматичний</t>
  </si>
  <si>
    <t>Підсумок</t>
  </si>
  <si>
    <t>Собівартість</t>
  </si>
  <si>
    <t>Ціна продажі</t>
  </si>
  <si>
    <t>Залишок,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</si>
</sst>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0000"/>
    <numFmt numFmtId="166" formatCode="#,##0.000"/>
  </numFmts>
  <fonts count="5" x14ac:knownFonts="1">
    <font>
      <sz val="8"/>
      <name val="Arial"/>
    </font>
    <font>
      <sz val="8"/>
      <name val="Arial"/>
      <family val="2"/>
    </font>
    <font>
      <b/>
      <sz val="12"/>
      <name val="Arial"/>
      <family val="2"/>
    </font>
    <font>
      <b/>
      <sz val="8"/>
      <color rgb="FF594304"/>
      <name val="Arial"/>
      <family val="2"/>
    </font>
    <font>
      <sz val="8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2DD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left" vertical="top"/>
    </xf>
    <xf numFmtId="1" fontId="4" fillId="3" borderId="1" xfId="0" applyNumberFormat="1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2" fontId="4" fillId="3" borderId="1" xfId="0" applyNumberFormat="1" applyFont="1" applyFill="1" applyBorder="1" applyAlignment="1">
      <alignment horizontal="right" vertical="top" wrapText="1"/>
    </xf>
    <xf numFmtId="4" fontId="4" fillId="3" borderId="1" xfId="0" applyNumberFormat="1" applyFont="1" applyFill="1" applyBorder="1" applyAlignment="1">
      <alignment horizontal="right" vertical="top" wrapText="1"/>
    </xf>
    <xf numFmtId="165" fontId="4" fillId="3" borderId="1" xfId="0" applyNumberFormat="1" applyFont="1" applyFill="1" applyBorder="1" applyAlignment="1">
      <alignment horizontal="left" vertical="top" wrapText="1"/>
    </xf>
    <xf numFmtId="166" fontId="3" fillId="2" borderId="1" xfId="0" applyNumberFormat="1" applyFont="1" applyFill="1" applyBorder="1" applyAlignment="1">
      <alignment horizontal="right"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2" fontId="3" fillId="2" borderId="1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1" fontId="0" fillId="0" borderId="0" xfId="0" applyNumberFormat="1"/>
    <xf numFmtId="0" fontId="3" fillId="4" borderId="2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L57"/>
  <sheetViews>
    <sheetView tabSelected="1" topLeftCell="A8" workbookViewId="0">
      <selection activeCell="D26" sqref="D26"/>
    </sheetView>
  </sheetViews>
  <sheetFormatPr defaultColWidth="10.5" defaultRowHeight="11.45" customHeight="1" x14ac:dyDescent="0.2"/>
  <cols>
    <col min="1" max="1" width="2.33203125" style="1" customWidth="1"/>
    <col min="2" max="2" width="17.5" style="1" customWidth="1"/>
    <col min="3" max="3" width="22.1640625" style="1" customWidth="1"/>
    <col min="4" max="4" width="59.5" style="1" customWidth="1"/>
    <col min="5" max="9" width="17.5" style="1" customWidth="1"/>
    <col min="10" max="10" width="13.6640625" customWidth="1"/>
    <col min="11" max="11" width="13.33203125" customWidth="1"/>
    <col min="12" max="12" width="13" customWidth="1"/>
  </cols>
  <sheetData>
    <row r="1" spans="2:12" s="1" customFormat="1" ht="15.95" hidden="1" customHeight="1" x14ac:dyDescent="0.2">
      <c r="B1" s="2" t="s">
        <v>0</v>
      </c>
    </row>
    <row r="2" spans="2:12" s="1" customFormat="1" ht="11.1" hidden="1" customHeight="1" x14ac:dyDescent="0.2">
      <c r="B2" s="3" t="s">
        <v>1</v>
      </c>
    </row>
    <row r="3" spans="2:12" s="1" customFormat="1" ht="11.1" hidden="1" customHeight="1" x14ac:dyDescent="0.2">
      <c r="B3" s="3" t="s">
        <v>2</v>
      </c>
    </row>
    <row r="4" spans="2:12" s="1" customFormat="1" ht="11.1" hidden="1" customHeight="1" x14ac:dyDescent="0.2">
      <c r="B4" s="3" t="s">
        <v>3</v>
      </c>
    </row>
    <row r="5" spans="2:12" s="1" customFormat="1" ht="21.95" hidden="1" customHeight="1" x14ac:dyDescent="0.2">
      <c r="B5" s="15" t="s">
        <v>4</v>
      </c>
      <c r="C5" s="15"/>
      <c r="D5" s="15"/>
    </row>
    <row r="6" spans="2:12" s="1" customFormat="1" ht="144" hidden="1" customHeight="1" x14ac:dyDescent="0.2">
      <c r="B6" s="15" t="s">
        <v>5</v>
      </c>
      <c r="C6" s="15"/>
      <c r="D6" s="15"/>
    </row>
    <row r="7" spans="2:12" ht="11.25" hidden="1" x14ac:dyDescent="0.2"/>
    <row r="8" spans="2:12" ht="21.95" customHeight="1" x14ac:dyDescent="0.2">
      <c r="B8" s="19" t="s">
        <v>6</v>
      </c>
      <c r="C8" s="19" t="s">
        <v>7</v>
      </c>
      <c r="D8" s="19" t="s">
        <v>8</v>
      </c>
      <c r="E8" s="4" t="s">
        <v>9</v>
      </c>
      <c r="F8" s="4" t="s">
        <v>10</v>
      </c>
      <c r="G8" s="4" t="s">
        <v>11</v>
      </c>
      <c r="H8" s="4" t="s">
        <v>12</v>
      </c>
      <c r="I8" s="4" t="s">
        <v>13</v>
      </c>
      <c r="J8" s="18" t="s">
        <v>109</v>
      </c>
      <c r="K8" s="18" t="s">
        <v>110</v>
      </c>
      <c r="L8" s="18" t="s">
        <v>111</v>
      </c>
    </row>
    <row r="9" spans="2:12" ht="11.1" customHeight="1" x14ac:dyDescent="0.2">
      <c r="B9" s="5"/>
      <c r="C9" s="5"/>
      <c r="D9" s="5"/>
      <c r="E9" s="4" t="s">
        <v>14</v>
      </c>
      <c r="F9" s="4" t="s">
        <v>15</v>
      </c>
      <c r="G9" s="4" t="s">
        <v>15</v>
      </c>
      <c r="H9" s="4" t="s">
        <v>15</v>
      </c>
      <c r="I9" s="4" t="s">
        <v>16</v>
      </c>
    </row>
    <row r="10" spans="2:12" ht="11.1" customHeight="1" x14ac:dyDescent="0.2">
      <c r="B10" s="6">
        <v>100002057</v>
      </c>
      <c r="C10" s="7" t="s">
        <v>17</v>
      </c>
      <c r="D10" s="7" t="s">
        <v>18</v>
      </c>
      <c r="E10" s="8">
        <v>3</v>
      </c>
      <c r="F10" s="9">
        <v>345</v>
      </c>
      <c r="G10" s="9">
        <v>218.63</v>
      </c>
      <c r="H10" s="9">
        <v>126.37</v>
      </c>
      <c r="I10" s="9">
        <v>36.630000000000003</v>
      </c>
      <c r="J10" s="17">
        <f>G10/E10</f>
        <v>72.876666666666665</v>
      </c>
      <c r="K10" s="17">
        <f>F10/E10</f>
        <v>115</v>
      </c>
      <c r="L10">
        <v>300</v>
      </c>
    </row>
    <row r="11" spans="2:12" ht="11.1" customHeight="1" x14ac:dyDescent="0.2">
      <c r="B11" s="6">
        <v>100000524</v>
      </c>
      <c r="C11" s="7" t="s">
        <v>19</v>
      </c>
      <c r="D11" s="7" t="s">
        <v>20</v>
      </c>
      <c r="E11" s="8">
        <v>10</v>
      </c>
      <c r="F11" s="9">
        <v>740</v>
      </c>
      <c r="G11" s="9">
        <v>678.75</v>
      </c>
      <c r="H11" s="9">
        <v>61.25</v>
      </c>
      <c r="I11" s="9">
        <v>8.2799999999999994</v>
      </c>
      <c r="J11" s="17">
        <f t="shared" ref="J11:J55" si="0">G11/E11</f>
        <v>67.875</v>
      </c>
      <c r="K11" s="17">
        <f t="shared" ref="K11:K55" si="1">F11/E11</f>
        <v>74</v>
      </c>
      <c r="L11">
        <v>21</v>
      </c>
    </row>
    <row r="12" spans="2:12" ht="11.1" customHeight="1" x14ac:dyDescent="0.2">
      <c r="B12" s="6">
        <v>100000351</v>
      </c>
      <c r="C12" s="7" t="s">
        <v>21</v>
      </c>
      <c r="D12" s="7" t="s">
        <v>22</v>
      </c>
      <c r="E12" s="8">
        <v>5</v>
      </c>
      <c r="F12" s="9">
        <v>590</v>
      </c>
      <c r="G12" s="9">
        <v>440.9</v>
      </c>
      <c r="H12" s="9">
        <v>149.1</v>
      </c>
      <c r="I12" s="9">
        <v>25.27</v>
      </c>
      <c r="J12" s="17">
        <f t="shared" si="0"/>
        <v>88.179999999999993</v>
      </c>
      <c r="K12" s="17">
        <f t="shared" si="1"/>
        <v>118</v>
      </c>
      <c r="L12">
        <v>505</v>
      </c>
    </row>
    <row r="13" spans="2:12" ht="11.1" customHeight="1" x14ac:dyDescent="0.2">
      <c r="B13" s="6">
        <v>100000390</v>
      </c>
      <c r="C13" s="7" t="s">
        <v>23</v>
      </c>
      <c r="D13" s="7" t="s">
        <v>24</v>
      </c>
      <c r="E13" s="8">
        <v>2</v>
      </c>
      <c r="F13" s="9">
        <v>220</v>
      </c>
      <c r="G13" s="9">
        <v>182.59</v>
      </c>
      <c r="H13" s="9">
        <v>37.409999999999997</v>
      </c>
      <c r="I13" s="9">
        <v>17</v>
      </c>
      <c r="J13" s="17">
        <f t="shared" si="0"/>
        <v>91.295000000000002</v>
      </c>
      <c r="K13" s="17">
        <f t="shared" si="1"/>
        <v>110</v>
      </c>
      <c r="L13">
        <v>100</v>
      </c>
    </row>
    <row r="14" spans="2:12" ht="11.1" customHeight="1" x14ac:dyDescent="0.2">
      <c r="B14" s="6">
        <v>100000131</v>
      </c>
      <c r="C14" s="7" t="s">
        <v>25</v>
      </c>
      <c r="D14" s="7" t="s">
        <v>26</v>
      </c>
      <c r="E14" s="8">
        <v>1</v>
      </c>
      <c r="F14" s="10">
        <v>3000</v>
      </c>
      <c r="G14" s="10">
        <v>1707.99</v>
      </c>
      <c r="H14" s="10">
        <v>1292.01</v>
      </c>
      <c r="I14" s="9">
        <v>43.07</v>
      </c>
      <c r="J14" s="17">
        <f t="shared" si="0"/>
        <v>1707.99</v>
      </c>
      <c r="K14" s="17">
        <f t="shared" si="1"/>
        <v>3000</v>
      </c>
      <c r="L14">
        <v>48</v>
      </c>
    </row>
    <row r="15" spans="2:12" ht="11.1" customHeight="1" x14ac:dyDescent="0.2">
      <c r="B15" s="6">
        <v>100000207</v>
      </c>
      <c r="C15" s="7" t="s">
        <v>27</v>
      </c>
      <c r="D15" s="7" t="s">
        <v>28</v>
      </c>
      <c r="E15" s="8">
        <v>100</v>
      </c>
      <c r="F15" s="10">
        <v>8000</v>
      </c>
      <c r="G15" s="10">
        <v>2935.57</v>
      </c>
      <c r="H15" s="10">
        <v>5064.43</v>
      </c>
      <c r="I15" s="9">
        <v>63.31</v>
      </c>
      <c r="J15" s="17">
        <f t="shared" si="0"/>
        <v>29.355700000000002</v>
      </c>
      <c r="K15" s="17">
        <f t="shared" si="1"/>
        <v>80</v>
      </c>
      <c r="L15">
        <v>103</v>
      </c>
    </row>
    <row r="16" spans="2:12" ht="11.1" customHeight="1" x14ac:dyDescent="0.2">
      <c r="B16" s="6">
        <v>100000491</v>
      </c>
      <c r="C16" s="7" t="s">
        <v>29</v>
      </c>
      <c r="D16" s="7" t="s">
        <v>30</v>
      </c>
      <c r="E16" s="8">
        <v>2</v>
      </c>
      <c r="F16" s="9">
        <v>126</v>
      </c>
      <c r="G16" s="9">
        <v>87.67</v>
      </c>
      <c r="H16" s="9">
        <v>38.33</v>
      </c>
      <c r="I16" s="9">
        <v>30.42</v>
      </c>
      <c r="J16" s="17">
        <f t="shared" si="0"/>
        <v>43.835000000000001</v>
      </c>
      <c r="K16" s="17">
        <f t="shared" si="1"/>
        <v>63</v>
      </c>
      <c r="L16">
        <v>174</v>
      </c>
    </row>
    <row r="17" spans="2:12" ht="11.1" customHeight="1" x14ac:dyDescent="0.2">
      <c r="B17" s="6">
        <v>100000659</v>
      </c>
      <c r="C17" s="7" t="s">
        <v>31</v>
      </c>
      <c r="D17" s="7" t="s">
        <v>32</v>
      </c>
      <c r="E17" s="8">
        <v>1</v>
      </c>
      <c r="F17" s="10">
        <v>1460</v>
      </c>
      <c r="G17" s="10">
        <v>1119.6500000000001</v>
      </c>
      <c r="H17" s="9">
        <v>340.35</v>
      </c>
      <c r="I17" s="9">
        <v>23.31</v>
      </c>
      <c r="J17" s="17">
        <f t="shared" si="0"/>
        <v>1119.6500000000001</v>
      </c>
      <c r="K17" s="17">
        <f t="shared" si="1"/>
        <v>1460</v>
      </c>
      <c r="L17">
        <v>12.4</v>
      </c>
    </row>
    <row r="18" spans="2:12" ht="11.1" customHeight="1" x14ac:dyDescent="0.2">
      <c r="B18" s="6">
        <v>100000671</v>
      </c>
      <c r="C18" s="7" t="s">
        <v>33</v>
      </c>
      <c r="D18" s="7" t="s">
        <v>34</v>
      </c>
      <c r="E18" s="8">
        <v>34</v>
      </c>
      <c r="F18" s="9">
        <v>272</v>
      </c>
      <c r="G18" s="9">
        <v>141.37</v>
      </c>
      <c r="H18" s="9">
        <v>130.63</v>
      </c>
      <c r="I18" s="9">
        <v>48.03</v>
      </c>
      <c r="J18" s="17">
        <f t="shared" si="0"/>
        <v>4.1579411764705885</v>
      </c>
      <c r="K18" s="17">
        <f t="shared" si="1"/>
        <v>8</v>
      </c>
      <c r="L18">
        <v>859</v>
      </c>
    </row>
    <row r="19" spans="2:12" ht="11.1" customHeight="1" x14ac:dyDescent="0.2">
      <c r="B19" s="6">
        <v>100001907</v>
      </c>
      <c r="C19" s="7" t="s">
        <v>35</v>
      </c>
      <c r="D19" s="7" t="s">
        <v>36</v>
      </c>
      <c r="E19" s="8">
        <v>2</v>
      </c>
      <c r="F19" s="9">
        <v>28</v>
      </c>
      <c r="G19" s="9">
        <v>7.96</v>
      </c>
      <c r="H19" s="9">
        <v>20.04</v>
      </c>
      <c r="I19" s="9">
        <v>71.569999999999993</v>
      </c>
      <c r="J19" s="17">
        <f t="shared" si="0"/>
        <v>3.98</v>
      </c>
      <c r="K19" s="17">
        <f t="shared" si="1"/>
        <v>14</v>
      </c>
      <c r="L19">
        <v>30</v>
      </c>
    </row>
    <row r="20" spans="2:12" ht="11.1" customHeight="1" x14ac:dyDescent="0.2">
      <c r="B20" s="6">
        <v>100000065</v>
      </c>
      <c r="C20" s="7" t="s">
        <v>37</v>
      </c>
      <c r="D20" s="7" t="s">
        <v>38</v>
      </c>
      <c r="E20" s="8">
        <v>2</v>
      </c>
      <c r="F20" s="9">
        <v>118</v>
      </c>
      <c r="G20" s="9">
        <v>58.03</v>
      </c>
      <c r="H20" s="9">
        <v>59.97</v>
      </c>
      <c r="I20" s="9">
        <v>50.82</v>
      </c>
      <c r="J20" s="17">
        <f t="shared" si="0"/>
        <v>29.015000000000001</v>
      </c>
      <c r="K20" s="17">
        <f t="shared" si="1"/>
        <v>59</v>
      </c>
      <c r="L20">
        <v>156</v>
      </c>
    </row>
    <row r="21" spans="2:12" ht="11.1" customHeight="1" x14ac:dyDescent="0.2">
      <c r="B21" s="6">
        <v>100000066</v>
      </c>
      <c r="C21" s="7" t="s">
        <v>39</v>
      </c>
      <c r="D21" s="7" t="s">
        <v>40</v>
      </c>
      <c r="E21" s="8">
        <v>2</v>
      </c>
      <c r="F21" s="9">
        <v>136</v>
      </c>
      <c r="G21" s="9">
        <v>63.42</v>
      </c>
      <c r="H21" s="9">
        <v>72.58</v>
      </c>
      <c r="I21" s="9">
        <v>53.37</v>
      </c>
      <c r="J21" s="17">
        <f t="shared" si="0"/>
        <v>31.71</v>
      </c>
      <c r="K21" s="17">
        <f t="shared" si="1"/>
        <v>68</v>
      </c>
      <c r="L21">
        <v>93</v>
      </c>
    </row>
    <row r="22" spans="2:12" ht="11.1" customHeight="1" x14ac:dyDescent="0.2">
      <c r="B22" s="6">
        <v>100001761</v>
      </c>
      <c r="C22" s="7" t="s">
        <v>41</v>
      </c>
      <c r="D22" s="7" t="s">
        <v>42</v>
      </c>
      <c r="E22" s="8">
        <v>5</v>
      </c>
      <c r="F22" s="9">
        <v>325</v>
      </c>
      <c r="G22" s="9">
        <v>208.78</v>
      </c>
      <c r="H22" s="9">
        <v>116.22</v>
      </c>
      <c r="I22" s="9">
        <v>35.76</v>
      </c>
      <c r="J22" s="17">
        <f t="shared" si="0"/>
        <v>41.756</v>
      </c>
      <c r="K22" s="17">
        <f t="shared" si="1"/>
        <v>65</v>
      </c>
      <c r="L22">
        <v>47</v>
      </c>
    </row>
    <row r="23" spans="2:12" ht="11.1" customHeight="1" x14ac:dyDescent="0.2">
      <c r="B23" s="6">
        <v>100001763</v>
      </c>
      <c r="C23" s="7" t="s">
        <v>43</v>
      </c>
      <c r="D23" s="7" t="s">
        <v>44</v>
      </c>
      <c r="E23" s="8">
        <v>21</v>
      </c>
      <c r="F23" s="10">
        <v>1470</v>
      </c>
      <c r="G23" s="9">
        <v>909.01</v>
      </c>
      <c r="H23" s="9">
        <v>560.99</v>
      </c>
      <c r="I23" s="9">
        <v>38.159999999999997</v>
      </c>
      <c r="J23" s="17">
        <f t="shared" si="0"/>
        <v>43.286190476190477</v>
      </c>
      <c r="K23" s="17">
        <f t="shared" si="1"/>
        <v>70</v>
      </c>
      <c r="L23">
        <v>4</v>
      </c>
    </row>
    <row r="24" spans="2:12" ht="11.1" customHeight="1" x14ac:dyDescent="0.2">
      <c r="B24" s="6">
        <v>100001764</v>
      </c>
      <c r="C24" s="7" t="s">
        <v>45</v>
      </c>
      <c r="D24" s="7" t="s">
        <v>46</v>
      </c>
      <c r="E24" s="8">
        <v>10</v>
      </c>
      <c r="F24" s="9">
        <v>800</v>
      </c>
      <c r="G24" s="9">
        <v>475.05</v>
      </c>
      <c r="H24" s="9">
        <v>324.95</v>
      </c>
      <c r="I24" s="9">
        <v>40.619999999999997</v>
      </c>
      <c r="J24" s="17">
        <f t="shared" si="0"/>
        <v>47.505000000000003</v>
      </c>
      <c r="K24" s="17">
        <f t="shared" si="1"/>
        <v>80</v>
      </c>
      <c r="L24">
        <v>7</v>
      </c>
    </row>
    <row r="25" spans="2:12" ht="11.1" customHeight="1" x14ac:dyDescent="0.2">
      <c r="B25" s="6">
        <v>100000153</v>
      </c>
      <c r="C25" s="7" t="s">
        <v>47</v>
      </c>
      <c r="D25" s="7" t="s">
        <v>48</v>
      </c>
      <c r="E25" s="8">
        <v>1</v>
      </c>
      <c r="F25" s="9">
        <v>94</v>
      </c>
      <c r="G25" s="9">
        <v>36.79</v>
      </c>
      <c r="H25" s="9">
        <v>57.21</v>
      </c>
      <c r="I25" s="9">
        <v>60.86</v>
      </c>
      <c r="J25" s="17">
        <f t="shared" si="0"/>
        <v>36.79</v>
      </c>
      <c r="K25" s="17">
        <f t="shared" si="1"/>
        <v>94</v>
      </c>
      <c r="L25">
        <v>99</v>
      </c>
    </row>
    <row r="26" spans="2:12" ht="11.1" customHeight="1" x14ac:dyDescent="0.2">
      <c r="B26" s="6">
        <v>100000196</v>
      </c>
      <c r="C26" s="7" t="s">
        <v>49</v>
      </c>
      <c r="D26" s="7" t="s">
        <v>50</v>
      </c>
      <c r="E26" s="8">
        <v>500</v>
      </c>
      <c r="F26" s="10">
        <v>6500</v>
      </c>
      <c r="G26" s="10">
        <v>3508.03</v>
      </c>
      <c r="H26" s="10">
        <v>2991.97</v>
      </c>
      <c r="I26" s="9">
        <v>46.03</v>
      </c>
      <c r="J26" s="17">
        <f t="shared" si="0"/>
        <v>7.0160600000000004</v>
      </c>
      <c r="K26" s="17">
        <f t="shared" si="1"/>
        <v>13</v>
      </c>
      <c r="L26">
        <v>1779</v>
      </c>
    </row>
    <row r="27" spans="2:12" ht="11.1" customHeight="1" x14ac:dyDescent="0.2">
      <c r="B27" s="6">
        <v>100000509</v>
      </c>
      <c r="C27" s="7" t="s">
        <v>51</v>
      </c>
      <c r="D27" s="7" t="s">
        <v>52</v>
      </c>
      <c r="E27" s="8">
        <v>7</v>
      </c>
      <c r="F27" s="9">
        <v>630</v>
      </c>
      <c r="G27" s="9">
        <v>509.55</v>
      </c>
      <c r="H27" s="9">
        <v>120.45</v>
      </c>
      <c r="I27" s="9">
        <v>19.12</v>
      </c>
      <c r="J27" s="17">
        <f t="shared" si="0"/>
        <v>72.792857142857144</v>
      </c>
      <c r="K27" s="17">
        <f t="shared" si="1"/>
        <v>90</v>
      </c>
      <c r="L27">
        <v>8</v>
      </c>
    </row>
    <row r="28" spans="2:12" ht="11.1" customHeight="1" x14ac:dyDescent="0.2">
      <c r="B28" s="6">
        <v>100000529</v>
      </c>
      <c r="C28" s="11">
        <v>203</v>
      </c>
      <c r="D28" s="7" t="s">
        <v>53</v>
      </c>
      <c r="E28" s="8">
        <v>3</v>
      </c>
      <c r="F28" s="9">
        <v>241.53</v>
      </c>
      <c r="G28" s="9">
        <v>207.36</v>
      </c>
      <c r="H28" s="9">
        <v>34.17</v>
      </c>
      <c r="I28" s="9">
        <v>14.15</v>
      </c>
      <c r="J28" s="17">
        <f t="shared" si="0"/>
        <v>69.12</v>
      </c>
      <c r="K28" s="17">
        <f t="shared" si="1"/>
        <v>80.510000000000005</v>
      </c>
      <c r="L28">
        <v>16</v>
      </c>
    </row>
    <row r="29" spans="2:12" ht="11.1" customHeight="1" x14ac:dyDescent="0.2">
      <c r="B29" s="6">
        <v>100000508</v>
      </c>
      <c r="C29" s="7" t="s">
        <v>54</v>
      </c>
      <c r="D29" s="7" t="s">
        <v>55</v>
      </c>
      <c r="E29" s="8">
        <v>3</v>
      </c>
      <c r="F29" s="9">
        <v>226.98</v>
      </c>
      <c r="G29" s="9">
        <v>193.39</v>
      </c>
      <c r="H29" s="9">
        <v>33.590000000000003</v>
      </c>
      <c r="I29" s="9">
        <v>14.8</v>
      </c>
      <c r="J29" s="17">
        <f t="shared" si="0"/>
        <v>64.463333333333324</v>
      </c>
      <c r="K29" s="17">
        <f t="shared" si="1"/>
        <v>75.66</v>
      </c>
      <c r="L29">
        <v>16</v>
      </c>
    </row>
    <row r="30" spans="2:12" ht="11.1" customHeight="1" x14ac:dyDescent="0.2">
      <c r="B30" s="6">
        <v>100000516</v>
      </c>
      <c r="C30" s="7" t="s">
        <v>56</v>
      </c>
      <c r="D30" s="7" t="s">
        <v>57</v>
      </c>
      <c r="E30" s="8">
        <v>1</v>
      </c>
      <c r="F30" s="9">
        <v>75</v>
      </c>
      <c r="G30" s="9">
        <v>58.35</v>
      </c>
      <c r="H30" s="9">
        <v>16.649999999999999</v>
      </c>
      <c r="I30" s="9">
        <v>22.2</v>
      </c>
      <c r="J30" s="17">
        <f t="shared" si="0"/>
        <v>58.35</v>
      </c>
      <c r="K30" s="17">
        <f t="shared" si="1"/>
        <v>75</v>
      </c>
      <c r="L30">
        <v>2</v>
      </c>
    </row>
    <row r="31" spans="2:12" ht="11.1" customHeight="1" x14ac:dyDescent="0.2">
      <c r="B31" s="6">
        <v>100000036</v>
      </c>
      <c r="C31" s="7" t="s">
        <v>58</v>
      </c>
      <c r="D31" s="7" t="s">
        <v>59</v>
      </c>
      <c r="E31" s="8">
        <v>1</v>
      </c>
      <c r="F31" s="9">
        <v>140</v>
      </c>
      <c r="G31" s="9">
        <v>64.989999999999995</v>
      </c>
      <c r="H31" s="9">
        <v>75.010000000000005</v>
      </c>
      <c r="I31" s="9">
        <v>53.58</v>
      </c>
      <c r="J31" s="17">
        <f t="shared" si="0"/>
        <v>64.989999999999995</v>
      </c>
      <c r="K31" s="17">
        <f t="shared" si="1"/>
        <v>140</v>
      </c>
      <c r="L31">
        <v>29</v>
      </c>
    </row>
    <row r="32" spans="2:12" ht="11.1" customHeight="1" x14ac:dyDescent="0.2">
      <c r="B32" s="6">
        <v>100001066</v>
      </c>
      <c r="C32" s="7" t="s">
        <v>60</v>
      </c>
      <c r="D32" s="7" t="s">
        <v>61</v>
      </c>
      <c r="E32" s="8">
        <v>15</v>
      </c>
      <c r="F32" s="9">
        <v>183</v>
      </c>
      <c r="G32" s="9">
        <v>104.91</v>
      </c>
      <c r="H32" s="9">
        <v>78.09</v>
      </c>
      <c r="I32" s="9">
        <v>42.67</v>
      </c>
      <c r="J32" s="17">
        <f t="shared" si="0"/>
        <v>6.9939999999999998</v>
      </c>
      <c r="K32" s="17">
        <f t="shared" si="1"/>
        <v>12.2</v>
      </c>
      <c r="L32">
        <v>1095</v>
      </c>
    </row>
    <row r="33" spans="2:12" ht="21.95" customHeight="1" x14ac:dyDescent="0.2">
      <c r="B33" s="6">
        <v>100000387</v>
      </c>
      <c r="C33" s="7" t="s">
        <v>62</v>
      </c>
      <c r="D33" s="7" t="s">
        <v>63</v>
      </c>
      <c r="E33" s="8">
        <v>1</v>
      </c>
      <c r="F33" s="9">
        <v>683</v>
      </c>
      <c r="G33" s="9">
        <v>594.29999999999995</v>
      </c>
      <c r="H33" s="9">
        <v>88.7</v>
      </c>
      <c r="I33" s="9">
        <v>12.99</v>
      </c>
      <c r="J33" s="17">
        <f t="shared" si="0"/>
        <v>594.29999999999995</v>
      </c>
      <c r="K33" s="17">
        <f t="shared" si="1"/>
        <v>683</v>
      </c>
      <c r="L33">
        <v>12</v>
      </c>
    </row>
    <row r="34" spans="2:12" ht="11.1" customHeight="1" x14ac:dyDescent="0.2">
      <c r="B34" s="6">
        <v>100000894</v>
      </c>
      <c r="C34" s="7" t="s">
        <v>64</v>
      </c>
      <c r="D34" s="7" t="s">
        <v>65</v>
      </c>
      <c r="E34" s="8">
        <v>1</v>
      </c>
      <c r="F34" s="9">
        <v>363</v>
      </c>
      <c r="G34" s="9">
        <v>112.37</v>
      </c>
      <c r="H34" s="9">
        <v>250.63</v>
      </c>
      <c r="I34" s="9">
        <v>69.040000000000006</v>
      </c>
      <c r="J34" s="17">
        <f t="shared" si="0"/>
        <v>112.37</v>
      </c>
      <c r="K34" s="17">
        <f t="shared" si="1"/>
        <v>363</v>
      </c>
      <c r="L34">
        <v>19</v>
      </c>
    </row>
    <row r="35" spans="2:12" ht="11.1" customHeight="1" x14ac:dyDescent="0.2">
      <c r="B35" s="6">
        <v>100000197</v>
      </c>
      <c r="C35" s="7" t="s">
        <v>66</v>
      </c>
      <c r="D35" s="7" t="s">
        <v>67</v>
      </c>
      <c r="E35" s="8">
        <v>1</v>
      </c>
      <c r="F35" s="9">
        <v>19</v>
      </c>
      <c r="G35" s="9">
        <v>8.4</v>
      </c>
      <c r="H35" s="9">
        <v>10.6</v>
      </c>
      <c r="I35" s="9">
        <v>55.79</v>
      </c>
      <c r="J35" s="17">
        <f t="shared" si="0"/>
        <v>8.4</v>
      </c>
      <c r="K35" s="17">
        <f t="shared" si="1"/>
        <v>19</v>
      </c>
      <c r="L35">
        <v>337</v>
      </c>
    </row>
    <row r="36" spans="2:12" ht="11.1" customHeight="1" x14ac:dyDescent="0.2">
      <c r="B36" s="6">
        <v>100000866</v>
      </c>
      <c r="C36" s="7" t="s">
        <v>68</v>
      </c>
      <c r="D36" s="7" t="s">
        <v>69</v>
      </c>
      <c r="E36" s="8">
        <v>2</v>
      </c>
      <c r="F36" s="9">
        <v>30</v>
      </c>
      <c r="G36" s="9">
        <v>16.059999999999999</v>
      </c>
      <c r="H36" s="9">
        <v>13.94</v>
      </c>
      <c r="I36" s="9">
        <v>46.47</v>
      </c>
      <c r="J36" s="17">
        <f t="shared" si="0"/>
        <v>8.0299999999999994</v>
      </c>
      <c r="K36" s="17">
        <f t="shared" si="1"/>
        <v>15</v>
      </c>
      <c r="L36">
        <v>117</v>
      </c>
    </row>
    <row r="37" spans="2:12" ht="11.1" customHeight="1" x14ac:dyDescent="0.2">
      <c r="B37" s="6">
        <v>100000043</v>
      </c>
      <c r="C37" s="7" t="s">
        <v>70</v>
      </c>
      <c r="D37" s="7" t="s">
        <v>71</v>
      </c>
      <c r="E37" s="8">
        <v>1</v>
      </c>
      <c r="F37" s="9">
        <v>49</v>
      </c>
      <c r="G37" s="9">
        <v>18.87</v>
      </c>
      <c r="H37" s="9">
        <v>30.13</v>
      </c>
      <c r="I37" s="9">
        <v>61.49</v>
      </c>
      <c r="J37" s="17">
        <f t="shared" si="0"/>
        <v>18.87</v>
      </c>
      <c r="K37" s="17">
        <f t="shared" si="1"/>
        <v>49</v>
      </c>
      <c r="L37">
        <v>203</v>
      </c>
    </row>
    <row r="38" spans="2:12" ht="11.1" customHeight="1" x14ac:dyDescent="0.2">
      <c r="B38" s="6">
        <v>100000927</v>
      </c>
      <c r="C38" s="7" t="s">
        <v>72</v>
      </c>
      <c r="D38" s="7" t="s">
        <v>73</v>
      </c>
      <c r="E38" s="8">
        <v>34</v>
      </c>
      <c r="F38" s="10">
        <v>1292</v>
      </c>
      <c r="G38" s="9">
        <v>588.22</v>
      </c>
      <c r="H38" s="9">
        <v>703.78</v>
      </c>
      <c r="I38" s="9">
        <v>54.47</v>
      </c>
      <c r="J38" s="17">
        <f t="shared" si="0"/>
        <v>17.300588235294118</v>
      </c>
      <c r="K38" s="17">
        <f t="shared" si="1"/>
        <v>38</v>
      </c>
      <c r="L38">
        <v>1448</v>
      </c>
    </row>
    <row r="39" spans="2:12" ht="11.1" customHeight="1" x14ac:dyDescent="0.2">
      <c r="B39" s="6">
        <v>100000408</v>
      </c>
      <c r="C39" s="7" t="s">
        <v>74</v>
      </c>
      <c r="D39" s="7" t="s">
        <v>75</v>
      </c>
      <c r="E39" s="8">
        <v>1</v>
      </c>
      <c r="F39" s="9">
        <v>106</v>
      </c>
      <c r="G39" s="9">
        <v>38.049999999999997</v>
      </c>
      <c r="H39" s="9">
        <v>67.95</v>
      </c>
      <c r="I39" s="9">
        <v>64.099999999999994</v>
      </c>
      <c r="J39" s="17">
        <f t="shared" si="0"/>
        <v>38.049999999999997</v>
      </c>
      <c r="K39" s="17">
        <f t="shared" si="1"/>
        <v>106</v>
      </c>
      <c r="L39">
        <v>188</v>
      </c>
    </row>
    <row r="40" spans="2:12" ht="11.1" customHeight="1" x14ac:dyDescent="0.2">
      <c r="B40" s="6">
        <v>100000055</v>
      </c>
      <c r="C40" s="7" t="s">
        <v>76</v>
      </c>
      <c r="D40" s="7" t="s">
        <v>77</v>
      </c>
      <c r="E40" s="8">
        <v>5</v>
      </c>
      <c r="F40" s="9">
        <v>395</v>
      </c>
      <c r="G40" s="9">
        <v>112.04</v>
      </c>
      <c r="H40" s="9">
        <v>282.95999999999998</v>
      </c>
      <c r="I40" s="9">
        <v>71.64</v>
      </c>
      <c r="J40" s="17">
        <f t="shared" si="0"/>
        <v>22.408000000000001</v>
      </c>
      <c r="K40" s="17">
        <f t="shared" si="1"/>
        <v>79</v>
      </c>
      <c r="L40">
        <v>65</v>
      </c>
    </row>
    <row r="41" spans="2:12" ht="11.1" customHeight="1" x14ac:dyDescent="0.2">
      <c r="B41" s="6">
        <v>100000375</v>
      </c>
      <c r="C41" s="7" t="s">
        <v>78</v>
      </c>
      <c r="D41" s="7" t="s">
        <v>79</v>
      </c>
      <c r="E41" s="8">
        <v>10</v>
      </c>
      <c r="F41" s="10">
        <v>10500</v>
      </c>
      <c r="G41" s="10">
        <v>9148.0400000000009</v>
      </c>
      <c r="H41" s="10">
        <v>1351.96</v>
      </c>
      <c r="I41" s="9">
        <v>12.88</v>
      </c>
      <c r="J41" s="17">
        <f t="shared" si="0"/>
        <v>914.80400000000009</v>
      </c>
      <c r="K41" s="17">
        <f t="shared" si="1"/>
        <v>1050</v>
      </c>
      <c r="L41">
        <v>1.4179999999999999</v>
      </c>
    </row>
    <row r="42" spans="2:12" ht="11.1" customHeight="1" x14ac:dyDescent="0.2">
      <c r="B42" s="6">
        <v>100000555</v>
      </c>
      <c r="C42" s="7" t="s">
        <v>80</v>
      </c>
      <c r="D42" s="7" t="s">
        <v>81</v>
      </c>
      <c r="E42" s="8">
        <v>1</v>
      </c>
      <c r="F42" s="9">
        <v>7</v>
      </c>
      <c r="G42" s="9">
        <v>2.82</v>
      </c>
      <c r="H42" s="9">
        <v>4.18</v>
      </c>
      <c r="I42" s="9">
        <v>59.71</v>
      </c>
      <c r="J42" s="17">
        <f t="shared" si="0"/>
        <v>2.82</v>
      </c>
      <c r="K42" s="17">
        <f t="shared" si="1"/>
        <v>7</v>
      </c>
      <c r="L42">
        <v>1414</v>
      </c>
    </row>
    <row r="43" spans="2:12" ht="11.1" customHeight="1" x14ac:dyDescent="0.2">
      <c r="B43" s="6">
        <v>100000584</v>
      </c>
      <c r="C43" s="7" t="s">
        <v>82</v>
      </c>
      <c r="D43" s="7" t="s">
        <v>83</v>
      </c>
      <c r="E43" s="8">
        <v>1</v>
      </c>
      <c r="F43" s="9">
        <v>490</v>
      </c>
      <c r="G43" s="9">
        <v>374.49</v>
      </c>
      <c r="H43" s="9">
        <v>115.51</v>
      </c>
      <c r="I43" s="9">
        <v>23.57</v>
      </c>
      <c r="J43" s="17">
        <f t="shared" si="0"/>
        <v>374.49</v>
      </c>
      <c r="K43" s="17">
        <f t="shared" si="1"/>
        <v>490</v>
      </c>
      <c r="L43">
        <v>16</v>
      </c>
    </row>
    <row r="44" spans="2:12" ht="11.1" customHeight="1" x14ac:dyDescent="0.2">
      <c r="B44" s="6">
        <v>100000022</v>
      </c>
      <c r="C44" s="7" t="s">
        <v>84</v>
      </c>
      <c r="D44" s="7" t="s">
        <v>85</v>
      </c>
      <c r="E44" s="8">
        <v>4</v>
      </c>
      <c r="F44" s="9">
        <v>202</v>
      </c>
      <c r="G44" s="9">
        <v>96.32</v>
      </c>
      <c r="H44" s="9">
        <v>105.68</v>
      </c>
      <c r="I44" s="9">
        <v>52.32</v>
      </c>
      <c r="J44" s="17">
        <f t="shared" si="0"/>
        <v>24.08</v>
      </c>
      <c r="K44" s="17">
        <f t="shared" si="1"/>
        <v>50.5</v>
      </c>
      <c r="L44">
        <v>331</v>
      </c>
    </row>
    <row r="45" spans="2:12" ht="11.1" customHeight="1" x14ac:dyDescent="0.2">
      <c r="B45" s="6">
        <v>100000774</v>
      </c>
      <c r="C45" s="7" t="s">
        <v>86</v>
      </c>
      <c r="D45" s="7" t="s">
        <v>87</v>
      </c>
      <c r="E45" s="8">
        <v>200</v>
      </c>
      <c r="F45" s="10">
        <v>11000</v>
      </c>
      <c r="G45" s="10">
        <v>5226.83</v>
      </c>
      <c r="H45" s="10">
        <v>5773.17</v>
      </c>
      <c r="I45" s="9">
        <v>52.48</v>
      </c>
      <c r="J45" s="17">
        <f t="shared" si="0"/>
        <v>26.134149999999998</v>
      </c>
      <c r="K45" s="17">
        <f t="shared" si="1"/>
        <v>55</v>
      </c>
      <c r="L45">
        <v>3425</v>
      </c>
    </row>
    <row r="46" spans="2:12" ht="11.1" customHeight="1" x14ac:dyDescent="0.2">
      <c r="B46" s="6">
        <v>100000125</v>
      </c>
      <c r="C46" s="7" t="s">
        <v>88</v>
      </c>
      <c r="D46" s="7" t="s">
        <v>89</v>
      </c>
      <c r="E46" s="8">
        <v>10</v>
      </c>
      <c r="F46" s="9">
        <v>190</v>
      </c>
      <c r="G46" s="9">
        <v>82.78</v>
      </c>
      <c r="H46" s="9">
        <v>107.22</v>
      </c>
      <c r="I46" s="9">
        <v>56.43</v>
      </c>
      <c r="J46" s="17">
        <f t="shared" si="0"/>
        <v>8.2780000000000005</v>
      </c>
      <c r="K46" s="17">
        <f t="shared" si="1"/>
        <v>19</v>
      </c>
      <c r="L46">
        <v>437</v>
      </c>
    </row>
    <row r="47" spans="2:12" ht="11.1" customHeight="1" x14ac:dyDescent="0.2">
      <c r="B47" s="6">
        <v>100002063</v>
      </c>
      <c r="C47" s="7" t="s">
        <v>90</v>
      </c>
      <c r="D47" s="7" t="s">
        <v>91</v>
      </c>
      <c r="E47" s="8">
        <v>2</v>
      </c>
      <c r="F47" s="9">
        <v>112</v>
      </c>
      <c r="G47" s="9">
        <v>64.52</v>
      </c>
      <c r="H47" s="9">
        <v>47.48</v>
      </c>
      <c r="I47" s="9">
        <v>42.39</v>
      </c>
      <c r="J47" s="17">
        <f t="shared" si="0"/>
        <v>32.26</v>
      </c>
      <c r="K47" s="17">
        <f t="shared" si="1"/>
        <v>56</v>
      </c>
      <c r="L47">
        <v>32</v>
      </c>
    </row>
    <row r="48" spans="2:12" ht="11.1" customHeight="1" x14ac:dyDescent="0.2">
      <c r="B48" s="6">
        <v>100002068</v>
      </c>
      <c r="C48" s="7" t="s">
        <v>92</v>
      </c>
      <c r="D48" s="7" t="s">
        <v>93</v>
      </c>
      <c r="E48" s="8">
        <v>1</v>
      </c>
      <c r="F48" s="9">
        <v>63</v>
      </c>
      <c r="G48" s="9">
        <v>31.63</v>
      </c>
      <c r="H48" s="9">
        <v>31.37</v>
      </c>
      <c r="I48" s="9">
        <v>49.79</v>
      </c>
      <c r="J48" s="17">
        <f t="shared" si="0"/>
        <v>31.63</v>
      </c>
      <c r="K48" s="17">
        <f t="shared" si="1"/>
        <v>63</v>
      </c>
      <c r="L48">
        <v>1</v>
      </c>
    </row>
    <row r="49" spans="2:12" ht="11.1" customHeight="1" x14ac:dyDescent="0.2">
      <c r="B49" s="6">
        <v>100000137</v>
      </c>
      <c r="C49" s="7" t="s">
        <v>94</v>
      </c>
      <c r="D49" s="7" t="s">
        <v>95</v>
      </c>
      <c r="E49" s="8">
        <v>4</v>
      </c>
      <c r="F49" s="9">
        <v>20</v>
      </c>
      <c r="G49" s="9">
        <v>6.61</v>
      </c>
      <c r="H49" s="9">
        <v>13.39</v>
      </c>
      <c r="I49" s="9">
        <v>66.95</v>
      </c>
      <c r="J49" s="17">
        <f t="shared" si="0"/>
        <v>1.6525000000000001</v>
      </c>
      <c r="K49" s="17">
        <f t="shared" si="1"/>
        <v>5</v>
      </c>
      <c r="L49">
        <v>750</v>
      </c>
    </row>
    <row r="50" spans="2:12" ht="11.1" customHeight="1" x14ac:dyDescent="0.2">
      <c r="B50" s="6">
        <v>100000011</v>
      </c>
      <c r="C50" s="7" t="s">
        <v>96</v>
      </c>
      <c r="D50" s="7" t="s">
        <v>97</v>
      </c>
      <c r="E50" s="8">
        <v>1</v>
      </c>
      <c r="F50" s="9">
        <v>77</v>
      </c>
      <c r="G50" s="9">
        <v>22.42</v>
      </c>
      <c r="H50" s="9">
        <v>54.58</v>
      </c>
      <c r="I50" s="9">
        <v>70.88</v>
      </c>
      <c r="J50" s="17">
        <f t="shared" si="0"/>
        <v>22.42</v>
      </c>
      <c r="K50" s="17">
        <f t="shared" si="1"/>
        <v>77</v>
      </c>
      <c r="L50">
        <v>644</v>
      </c>
    </row>
    <row r="51" spans="2:12" ht="11.1" customHeight="1" x14ac:dyDescent="0.2">
      <c r="B51" s="6">
        <v>100000012</v>
      </c>
      <c r="C51" s="7" t="s">
        <v>98</v>
      </c>
      <c r="D51" s="7" t="s">
        <v>99</v>
      </c>
      <c r="E51" s="8">
        <v>1</v>
      </c>
      <c r="F51" s="9">
        <v>59</v>
      </c>
      <c r="G51" s="9">
        <v>20.55</v>
      </c>
      <c r="H51" s="9">
        <v>38.450000000000003</v>
      </c>
      <c r="I51" s="9">
        <v>65.17</v>
      </c>
      <c r="J51" s="17">
        <f t="shared" si="0"/>
        <v>20.55</v>
      </c>
      <c r="K51" s="17">
        <f t="shared" si="1"/>
        <v>59</v>
      </c>
      <c r="L51">
        <v>524</v>
      </c>
    </row>
    <row r="52" spans="2:12" ht="11.1" customHeight="1" x14ac:dyDescent="0.2">
      <c r="B52" s="6">
        <v>100000616</v>
      </c>
      <c r="C52" s="7" t="s">
        <v>100</v>
      </c>
      <c r="D52" s="7" t="s">
        <v>101</v>
      </c>
      <c r="E52" s="8">
        <v>4</v>
      </c>
      <c r="F52" s="9">
        <v>108</v>
      </c>
      <c r="G52" s="9">
        <v>60.93</v>
      </c>
      <c r="H52" s="9">
        <v>47.07</v>
      </c>
      <c r="I52" s="9">
        <v>43.58</v>
      </c>
      <c r="J52" s="17">
        <f t="shared" si="0"/>
        <v>15.2325</v>
      </c>
      <c r="K52" s="17">
        <f t="shared" si="1"/>
        <v>27</v>
      </c>
    </row>
    <row r="53" spans="2:12" ht="11.1" customHeight="1" x14ac:dyDescent="0.2">
      <c r="B53" s="6">
        <v>100000404</v>
      </c>
      <c r="C53" s="7" t="s">
        <v>102</v>
      </c>
      <c r="D53" s="7" t="s">
        <v>103</v>
      </c>
      <c r="E53" s="8">
        <v>4</v>
      </c>
      <c r="F53" s="9">
        <v>184</v>
      </c>
      <c r="G53" s="9">
        <v>50.91</v>
      </c>
      <c r="H53" s="9">
        <v>133.09</v>
      </c>
      <c r="I53" s="9">
        <v>72.33</v>
      </c>
      <c r="J53" s="17">
        <f t="shared" si="0"/>
        <v>12.727499999999999</v>
      </c>
      <c r="K53" s="17">
        <f t="shared" si="1"/>
        <v>46</v>
      </c>
      <c r="L53">
        <v>189.5</v>
      </c>
    </row>
    <row r="54" spans="2:12" ht="11.1" customHeight="1" x14ac:dyDescent="0.2">
      <c r="B54" s="6">
        <v>100000640</v>
      </c>
      <c r="C54" s="7" t="s">
        <v>104</v>
      </c>
      <c r="D54" s="7" t="s">
        <v>105</v>
      </c>
      <c r="E54" s="8">
        <v>1</v>
      </c>
      <c r="F54" s="9">
        <v>720</v>
      </c>
      <c r="G54" s="9">
        <v>532.67999999999995</v>
      </c>
      <c r="H54" s="9">
        <v>187.32</v>
      </c>
      <c r="I54" s="9">
        <v>26.02</v>
      </c>
      <c r="J54" s="17">
        <f t="shared" si="0"/>
        <v>532.67999999999995</v>
      </c>
      <c r="K54" s="17">
        <f t="shared" si="1"/>
        <v>720</v>
      </c>
      <c r="L54">
        <v>6</v>
      </c>
    </row>
    <row r="55" spans="2:12" ht="11.1" customHeight="1" x14ac:dyDescent="0.2">
      <c r="B55" s="6">
        <v>100000994</v>
      </c>
      <c r="C55" s="7" t="s">
        <v>106</v>
      </c>
      <c r="D55" s="7" t="s">
        <v>107</v>
      </c>
      <c r="E55" s="8">
        <v>1</v>
      </c>
      <c r="F55" s="9">
        <v>100</v>
      </c>
      <c r="G55" s="9">
        <v>51.46</v>
      </c>
      <c r="H55" s="9">
        <v>48.54</v>
      </c>
      <c r="I55" s="9">
        <v>48.54</v>
      </c>
      <c r="J55" s="17">
        <f t="shared" si="0"/>
        <v>51.46</v>
      </c>
      <c r="K55" s="17">
        <f t="shared" si="1"/>
        <v>100</v>
      </c>
      <c r="L55">
        <v>42</v>
      </c>
    </row>
    <row r="56" spans="2:12" s="1" customFormat="1" ht="5.0999999999999996" customHeight="1" x14ac:dyDescent="0.2"/>
    <row r="57" spans="2:12" ht="11.1" customHeight="1" x14ac:dyDescent="0.2">
      <c r="B57" s="16" t="s">
        <v>108</v>
      </c>
      <c r="C57" s="16"/>
      <c r="D57" s="16"/>
      <c r="E57" s="12">
        <v>1022</v>
      </c>
      <c r="F57" s="13">
        <v>52489.51</v>
      </c>
      <c r="G57" s="13">
        <v>31180.04</v>
      </c>
      <c r="H57" s="13">
        <v>21309.47</v>
      </c>
      <c r="I57" s="14">
        <v>40.6</v>
      </c>
    </row>
  </sheetData>
  <mergeCells count="3">
    <mergeCell ref="B5:D5"/>
    <mergeCell ref="B6:D6"/>
    <mergeCell ref="B57:D5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Economist</cp:lastModifiedBy>
  <dcterms:modified xsi:type="dcterms:W3CDTF">2026-04-23T13:06:22Z</dcterms:modified>
</cp:coreProperties>
</file>